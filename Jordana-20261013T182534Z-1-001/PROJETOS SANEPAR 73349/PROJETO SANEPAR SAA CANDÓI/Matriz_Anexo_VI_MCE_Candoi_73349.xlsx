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Anexo VI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'Matriz Anexo VI'!$B$9:$H$72</definedName>
    <definedName name="_xlnm.Print_Titles" localSheetId="0">'Matriz Anexo VI'!$9:$9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62626"/>
      <sz val="10"/>
    </font>
    <font>
      <name val="Arial"/>
      <b val="1"/>
      <color rgb="00843C0C"/>
      <sz val="10"/>
    </font>
    <font>
      <name val="Arial"/>
      <b val="1"/>
      <color rgb="009C0006"/>
      <sz val="10"/>
    </font>
    <font>
      <name val="Arial"/>
      <i val="1"/>
      <color rgb="001F4E78"/>
      <sz val="10"/>
    </font>
    <font>
      <name val="Arial"/>
      <b val="1"/>
      <color rgb="00006100"/>
      <sz val="10"/>
    </font>
    <font>
      <name val="Arial"/>
      <b val="1"/>
      <color rgb="009C5700"/>
      <sz val="10"/>
    </font>
    <font>
      <name val="Arial"/>
      <b val="1"/>
      <color rgb="00404040"/>
      <sz val="10"/>
    </font>
    <font>
      <name val="Arial"/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EEF3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vertical="center" indent="2"/>
    </xf>
    <xf numFmtId="0" fontId="5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3" fillId="0" borderId="0" pivotButton="0" quotePrefix="0" xfId="0"/>
    <xf numFmtId="0" fontId="10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843C0C"/>
        <sz val="10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404040"/>
        <sz val="10"/>
      </font>
      <fill>
        <patternFill patternType="solid">
          <fgColor rgb="00EDEDED"/>
          <bgColor rgb="00EDEDED"/>
        </patternFill>
      </fill>
    </dxf>
    <dxf>
      <font>
        <name val="Arial"/>
        <b val="1"/>
        <color rgb="00262626"/>
        <sz val="1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7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30" customWidth="1" min="4" max="4"/>
    <col width="24" customWidth="1" min="5" max="5"/>
    <col width="14" customWidth="1" min="6" max="6"/>
    <col width="24" customWidth="1" min="7" max="7"/>
    <col width="58" customWidth="1" min="8" max="8"/>
  </cols>
  <sheetData>
    <row r="1" ht="24" customHeight="1">
      <c r="B1" s="1" t="inlineStr">
        <is>
          <t>MATRIZ DE ATENDIMENTO AO ANEXO VI DA INSTRUÇÃO NORMATIVA IAT Nº 37/2025</t>
        </is>
      </c>
    </row>
    <row r="2" ht="18" customHeight="1">
      <c r="B2" s="2" t="inlineStr">
        <is>
          <t>Documento:</t>
        </is>
      </c>
      <c r="C2" s="3" t="n"/>
      <c r="D2" s="4" t="inlineStr">
        <is>
          <t>Memorial de Caracterização do Empreendimento (MCE) – Sistema de Abastecimento de Água (SAA)</t>
        </is>
      </c>
      <c r="E2" s="3" t="n"/>
      <c r="F2" s="3" t="n"/>
      <c r="G2" s="3" t="n"/>
      <c r="H2" s="3" t="n"/>
    </row>
    <row r="3" ht="18" customHeight="1">
      <c r="B3" s="2" t="inlineStr">
        <is>
          <t>Empreendimento:</t>
        </is>
      </c>
      <c r="C3" s="3" t="n"/>
      <c r="D3" s="5" t="inlineStr">
        <is>
          <t>MCE do SAA da Sanepar de Candói/PR – Projeto nº 73349</t>
        </is>
      </c>
      <c r="E3" s="3" t="n"/>
      <c r="F3" s="3" t="n"/>
      <c r="G3" s="3" t="n"/>
      <c r="H3" s="3" t="n"/>
    </row>
    <row r="4" ht="18" customHeight="1">
      <c r="B4" s="2" t="inlineStr">
        <is>
          <t>Empreendedor:</t>
        </is>
      </c>
      <c r="C4" s="3" t="n"/>
      <c r="D4" s="4" t="inlineStr">
        <is>
          <t>Companhia de Saneamento do Paraná – Sanepar</t>
        </is>
      </c>
      <c r="E4" s="3" t="n"/>
      <c r="F4" s="3" t="n"/>
      <c r="G4" s="3" t="n"/>
      <c r="H4" s="3" t="n"/>
    </row>
    <row r="5" ht="18" customHeight="1">
      <c r="B5" s="2" t="inlineStr">
        <is>
          <t>Referência normativa:</t>
        </is>
      </c>
      <c r="C5" s="3" t="n"/>
      <c r="D5" s="4" t="inlineStr">
        <is>
          <t>IN IAT nº 37/2025, Anexo VI – Termo de Referência para Elaboração do MCE para SAA</t>
        </is>
      </c>
      <c r="E5" s="3" t="n"/>
      <c r="F5" s="3" t="n"/>
      <c r="G5" s="3" t="n"/>
      <c r="H5" s="3" t="n"/>
    </row>
    <row r="6" ht="18" customHeight="1">
      <c r="B6" s="2" t="inlineStr">
        <is>
          <t>Modelo de referência:</t>
        </is>
      </c>
      <c r="C6" s="3" t="n"/>
      <c r="D6" s="4" t="inlineStr">
        <is>
          <t>Anexo_VI_MCE_Palmeira; MCE Sanepar Palmeira SAA – 01; MCE Sanepar SAA Entre Rios – 00</t>
        </is>
      </c>
      <c r="E6" s="3" t="n"/>
      <c r="F6" s="3" t="n"/>
      <c r="G6" s="3" t="n"/>
      <c r="H6" s="3" t="n"/>
    </row>
    <row r="7" ht="18" customHeight="1">
      <c r="B7" s="2" t="inlineStr">
        <is>
          <t>Situação da matriz:</t>
        </is>
      </c>
      <c r="C7" s="3" t="n"/>
      <c r="D7" s="4" t="inlineStr">
        <is>
          <t>Rev. 00 – estrutura completa; avaliação item a item pendente do recebimento dos documentos-fonte do Projeto nº 73349</t>
        </is>
      </c>
      <c r="E7" s="3" t="n"/>
      <c r="F7" s="3" t="n"/>
      <c r="G7" s="3" t="n"/>
      <c r="H7" s="3" t="n"/>
    </row>
    <row r="9" ht="30" customHeight="1">
      <c r="B9" s="6" t="inlineStr">
        <is>
          <t>Item do Anexo VI</t>
        </is>
      </c>
      <c r="C9" s="6" t="inlineStr">
        <is>
          <t>Informação exigida</t>
        </is>
      </c>
      <c r="D9" s="6" t="inlineStr">
        <is>
          <t>Item correspondente no MCE (estrutura modelo)</t>
        </is>
      </c>
      <c r="E9" s="6" t="inlineStr">
        <is>
          <t>Documento-fonte</t>
        </is>
      </c>
      <c r="F9" s="6" t="inlineStr">
        <is>
          <t>Informação encontrada?</t>
        </is>
      </c>
      <c r="G9" s="6" t="inlineStr">
        <is>
          <t>Situação</t>
        </is>
      </c>
      <c r="H9" s="6" t="inlineStr">
        <is>
          <t>Observação / Página-Item</t>
        </is>
      </c>
    </row>
    <row r="10" ht="18" customHeight="1">
      <c r="B10" s="7" t="inlineStr">
        <is>
          <t>0. EXIGÊNCIAS GERAIS DO ANEXO VI (preâmbulo)</t>
        </is>
      </c>
      <c r="C10" s="8" t="n"/>
      <c r="D10" s="8" t="n"/>
      <c r="E10" s="8" t="n"/>
      <c r="F10" s="8" t="n"/>
      <c r="G10" s="8" t="n"/>
      <c r="H10" s="8" t="n"/>
    </row>
    <row r="11" ht="54" customHeight="1">
      <c r="B11" s="9" t="inlineStr">
        <is>
          <t>0.1</t>
        </is>
      </c>
      <c r="C11" s="10" t="inlineStr">
        <is>
          <t>MCE elaborado por técnico habilitado</t>
        </is>
      </c>
      <c r="D11" s="10" t="inlineStr">
        <is>
          <t>6 Identificação da empresa responsável pelo documento</t>
        </is>
      </c>
      <c r="E11" s="10" t="inlineStr">
        <is>
          <t>-</t>
        </is>
      </c>
      <c r="F11" s="9" t="inlineStr">
        <is>
          <t>A verificar</t>
        </is>
      </c>
      <c r="G11" s="11" t="inlineStr">
        <is>
          <t>A VERIFICAR</t>
        </is>
      </c>
      <c r="H11" s="10" t="inlineStr">
        <is>
          <t>Anexo VI, preâmbulo: o MCE deve ser elaborado por técnico habilitado. Identificar empresa (VGBL Energy Ltda / Biocerne Ambiental, conforme MCEs modelo) e o(s) profissional(is) responsável(is), com registro no conselho de classe.</t>
        </is>
      </c>
    </row>
    <row r="12" ht="41.25" customHeight="1">
      <c r="B12" s="9" t="inlineStr">
        <is>
          <t>0.2</t>
        </is>
      </c>
      <c r="C12" s="10" t="inlineStr">
        <is>
          <t>Anotação de Responsabilidade Técnica (ART) do MCE</t>
        </is>
      </c>
      <c r="D12" s="10" t="inlineStr">
        <is>
          <t>Anexos – ART's</t>
        </is>
      </c>
      <c r="E12" s="10" t="inlineStr">
        <is>
          <t>-</t>
        </is>
      </c>
      <c r="F12" s="9" t="inlineStr">
        <is>
          <t>A verificar</t>
        </is>
      </c>
      <c r="G12" s="11" t="inlineStr">
        <is>
          <t>A VERIFICAR</t>
        </is>
      </c>
      <c r="H12" s="10" t="inlineStr">
        <is>
          <t>Anexo VI, preâmbulo: o MCE deve ser apresentado acompanhado da respectiva ART. No MCE Palmeira consta 'ANEXO XI – ART's'; no MCE Entre Rios não há anexo de ART.</t>
        </is>
      </c>
    </row>
    <row r="13" ht="18" customHeight="1">
      <c r="B13" s="7" t="inlineStr">
        <is>
          <t>I. INFORMAÇÕES CADASTRAIS</t>
        </is>
      </c>
      <c r="C13" s="8" t="n"/>
      <c r="D13" s="8" t="n"/>
      <c r="E13" s="8" t="n"/>
      <c r="F13" s="8" t="n"/>
      <c r="G13" s="8" t="n"/>
      <c r="H13" s="8" t="n"/>
    </row>
    <row r="14" ht="41.25" customHeight="1">
      <c r="B14" s="9" t="inlineStr">
        <is>
          <t>I.1</t>
        </is>
      </c>
      <c r="C14" s="10" t="inlineStr">
        <is>
          <t>Razão social</t>
        </is>
      </c>
      <c r="D14" s="10" t="inlineStr">
        <is>
          <t>2 Identificação do Empreendimento</t>
        </is>
      </c>
      <c r="E14" s="10" t="inlineStr">
        <is>
          <t>[MCE-PAL] item 2; [MCE-ER] item 2</t>
        </is>
      </c>
      <c r="F14" s="9" t="inlineStr">
        <is>
          <t>Sim</t>
        </is>
      </c>
      <c r="G14" s="12" t="inlineStr">
        <is>
          <t>DÚVIDA/VALIDAÇÃO NECESSÁRIA</t>
        </is>
      </c>
      <c r="H14" s="10" t="inlineStr">
        <is>
          <t>Dado institucional já adotado nos MCEs modelo: 'Companhia de Saneamento do Paraná – Sanepar'. Confirmar com a Sanepar para o Projeto nº 73349.</t>
        </is>
      </c>
    </row>
    <row r="15" ht="41.25" customHeight="1">
      <c r="B15" s="9" t="inlineStr">
        <is>
          <t>I.2</t>
        </is>
      </c>
      <c r="C15" s="10" t="inlineStr">
        <is>
          <t>Nome Fantasia</t>
        </is>
      </c>
      <c r="D15" s="10" t="inlineStr">
        <is>
          <t>2 Identificação do Empreendimento</t>
        </is>
      </c>
      <c r="E15" s="10" t="inlineStr">
        <is>
          <t>-</t>
        </is>
      </c>
      <c r="F15" s="9" t="inlineStr">
        <is>
          <t>Não</t>
        </is>
      </c>
      <c r="G15" s="13" t="inlineStr">
        <is>
          <t>NÃO ATENDIDO</t>
        </is>
      </c>
      <c r="H15" s="10" t="inlineStr">
        <is>
          <t>Os MCEs modelo não trazem linha própria de 'Nome Fantasia' (a sigla aparece apenas na razão social). Incluir linha específica no MCE Candói (ex.: 'Sanepar'), após confirmação.</t>
        </is>
      </c>
    </row>
    <row r="16" ht="54" customHeight="1">
      <c r="B16" s="9" t="inlineStr">
        <is>
          <t>I.3</t>
        </is>
      </c>
      <c r="C16" s="10" t="inlineStr">
        <is>
          <t>CNPJ e Inscrição Estadual. Cadastro de Produtor Rural</t>
        </is>
      </c>
      <c r="D16" s="10" t="inlineStr">
        <is>
          <t>2 Identificação do Empreendimento</t>
        </is>
      </c>
      <c r="E16" s="10" t="inlineStr">
        <is>
          <t>[MCE-PAL] item 2; [MCE-ER] item 2</t>
        </is>
      </c>
      <c r="F16" s="9" t="inlineStr">
        <is>
          <t>Parcial</t>
        </is>
      </c>
      <c r="G16" s="12" t="inlineStr">
        <is>
          <t>DÚVIDA/VALIDAÇÃO NECESSÁRIA</t>
        </is>
      </c>
      <c r="H16" s="10" t="inlineStr">
        <is>
          <t>MCEs modelo: CNPJ 76.484.013/0001-45 e IE 101.800.80-64 (confirmar com a Sanepar). Cadastro de Produtor Rural: não se aplica ao empreendedor (pessoa jurídica de saneamento); registrar 'não se aplica' de forma justificada no MCE.</t>
        </is>
      </c>
    </row>
    <row r="17" ht="54" customHeight="1">
      <c r="B17" s="9" t="inlineStr">
        <is>
          <t>I.4</t>
        </is>
      </c>
      <c r="C17" s="10" t="inlineStr">
        <is>
          <t>Endereço completo da unidade a ser licenciada</t>
        </is>
      </c>
      <c r="D17" s="10" t="inlineStr">
        <is>
          <t>2 Identificação do Empreendimento (com figuras de localização)</t>
        </is>
      </c>
      <c r="E17" s="10" t="inlineStr">
        <is>
          <t>-</t>
        </is>
      </c>
      <c r="F17" s="9" t="inlineStr">
        <is>
          <t>A verificar</t>
        </is>
      </c>
      <c r="G17" s="11" t="inlineStr">
        <is>
          <t>A VERIFICAR</t>
        </is>
      </c>
      <c r="H17" s="10" t="inlineStr">
        <is>
          <t>Seguir o padrão dos MCEs modelo: endereço da unidade principal (ETA) com rua, referência de cruzamento e figura; quando o sistema tiver unidades dispersas, informar e remeter ao item 3.3 (coordenadas). Depende do projeto do SAA Candói.</t>
        </is>
      </c>
    </row>
    <row r="18" ht="54" customHeight="1">
      <c r="B18" s="9" t="inlineStr">
        <is>
          <t>I.5</t>
        </is>
      </c>
      <c r="C18" s="10" t="inlineStr">
        <is>
          <t>Endereço para correspondência</t>
        </is>
      </c>
      <c r="D18" s="10" t="inlineStr">
        <is>
          <t>2 Identificação do Empreendimento</t>
        </is>
      </c>
      <c r="E18" s="10" t="inlineStr">
        <is>
          <t>[MCE-PAL] item 2; [MCE-ER] item 2</t>
        </is>
      </c>
      <c r="F18" s="9" t="inlineStr">
        <is>
          <t>Sim</t>
        </is>
      </c>
      <c r="G18" s="12" t="inlineStr">
        <is>
          <t>DÚVIDA/VALIDAÇÃO NECESSÁRIA</t>
        </is>
      </c>
      <c r="H18" s="10" t="inlineStr">
        <is>
          <t>MCEs modelo: Rua Engenheiros Rebouças nº 1376, Curitiba/PR, CEP 80215-900. Observação: o cabeçalho da IN 37 indica 'Rua Engenheiro Rebouças' para o IAT; conferir a grafia e o número do endereço da Sanepar.</t>
        </is>
      </c>
    </row>
    <row r="19" ht="54" customHeight="1">
      <c r="B19" s="9" t="inlineStr">
        <is>
          <t>I.6</t>
        </is>
      </c>
      <c r="C19" s="10" t="inlineStr">
        <is>
          <t>Nome do responsável, telefone</t>
        </is>
      </c>
      <c r="D19" s="10" t="inlineStr">
        <is>
          <t>2 Identificação do Empreendimento – Quadro 1 (equipe Sanepar)</t>
        </is>
      </c>
      <c r="E19" s="10" t="inlineStr">
        <is>
          <t>-</t>
        </is>
      </c>
      <c r="F19" s="9" t="inlineStr">
        <is>
          <t>A verificar</t>
        </is>
      </c>
      <c r="G19" s="11" t="inlineStr">
        <is>
          <t>A VERIFICAR</t>
        </is>
      </c>
      <c r="H19" s="10" t="inlineStr">
        <is>
          <t>Quadro 1 dos MCEs modelo: Nome | Função/Vínculo | Registro profissional | Telefone. A equipe varia por projeto; obter a equipe Sanepar (GPOSD) do Projeto nº 73349 e definir quem figura como responsável perante o IAT.</t>
        </is>
      </c>
    </row>
    <row r="20" ht="41.25" customHeight="1">
      <c r="B20" s="9" t="inlineStr">
        <is>
          <t>I.7</t>
        </is>
      </c>
      <c r="C20" s="10" t="inlineStr">
        <is>
          <t>E-mail</t>
        </is>
      </c>
      <c r="D20" s="10" t="inlineStr">
        <is>
          <t>2 Identificação do Empreendimento (nota do Quadro 1)</t>
        </is>
      </c>
      <c r="E20" s="10" t="inlineStr">
        <is>
          <t>-</t>
        </is>
      </c>
      <c r="F20" s="9" t="inlineStr">
        <is>
          <t>A verificar</t>
        </is>
      </c>
      <c r="G20" s="11" t="inlineStr">
        <is>
          <t>A VERIFICAR</t>
        </is>
      </c>
      <c r="H20" s="10" t="inlineStr">
        <is>
          <t>No MCE Entre Rios o e-mail aparece apenas como nota de rodapé do Quadro 1; no MCE Palmeira não consta. Informar e-mail do responsável de forma explícita no MCE Candói.</t>
        </is>
      </c>
    </row>
    <row r="21" ht="18" customHeight="1">
      <c r="B21" s="7" t="inlineStr">
        <is>
          <t>II. CARACTERIZAÇÃO DA ÁREA</t>
        </is>
      </c>
      <c r="C21" s="8" t="n"/>
      <c r="D21" s="8" t="n"/>
      <c r="E21" s="8" t="n"/>
      <c r="F21" s="8" t="n"/>
      <c r="G21" s="8" t="n"/>
      <c r="H21" s="8" t="n"/>
    </row>
    <row r="22" ht="54" customHeight="1">
      <c r="B22" s="9" t="inlineStr">
        <is>
          <t>II.1</t>
        </is>
      </c>
      <c r="C22" s="10" t="inlineStr">
        <is>
          <t>Área onde será implantada a atividade (área total, área construída e área livre)</t>
        </is>
      </c>
      <c r="D22" s="10" t="inlineStr">
        <is>
          <t>3.2 Área onde será implantada a atividade (Quadros 2 e 3)</t>
        </is>
      </c>
      <c r="E22" s="10" t="inlineStr">
        <is>
          <t>-</t>
        </is>
      </c>
      <c r="F22" s="9" t="inlineStr">
        <is>
          <t>A verificar</t>
        </is>
      </c>
      <c r="G22" s="11" t="inlineStr">
        <is>
          <t>A VERIFICAR</t>
        </is>
      </c>
      <c r="H22" s="10" t="inlineStr">
        <is>
          <t>A IN pede três valores (total, construída e livre). Os MCEs modelo informam apenas a área ocupada por unidade, sem discriminar construída/livre: incluir essas colunas no Quadro 2 do MCE Candói. Quadro 3: extensão e material das adutoras.</t>
        </is>
      </c>
    </row>
    <row r="23" ht="54" customHeight="1">
      <c r="B23" s="9" t="inlineStr">
        <is>
          <t>II.2</t>
        </is>
      </c>
      <c r="C23" s="10" t="inlineStr">
        <is>
          <t>Coordenadas Geográficas e UTM</t>
        </is>
      </c>
      <c r="D23" s="10" t="inlineStr">
        <is>
          <t>3.3 Coordenadas Geográficas e UTM</t>
        </is>
      </c>
      <c r="E23" s="10" t="inlineStr">
        <is>
          <t>-</t>
        </is>
      </c>
      <c r="F23" s="9" t="inlineStr">
        <is>
          <t>A verificar</t>
        </is>
      </c>
      <c r="G23" s="11" t="inlineStr">
        <is>
          <t>A VERIFICAR</t>
        </is>
      </c>
      <c r="H23" s="10" t="inlineStr">
        <is>
          <t>Apresentar as duas formas (geográficas em graus e UTM), com datum SIRGAS 2000 e fuso. Os MCEs modelo trazem só UTM: incluir também as coordenadas geográficas. Abranger captação, elevatórias, travessias, ETA, reservatórios e demais unidades.</t>
        </is>
      </c>
    </row>
    <row r="24" ht="41.25" customHeight="1">
      <c r="B24" s="9" t="inlineStr">
        <is>
          <t>II.3</t>
        </is>
      </c>
      <c r="C24" s="10" t="inlineStr">
        <is>
          <t>Tipo e característica do solo</t>
        </is>
      </c>
      <c r="D24" s="10" t="inlineStr">
        <is>
          <t>3.5.1 Pedologia; 3.5.1.1 Uso do Solo</t>
        </is>
      </c>
      <c r="E24" s="10" t="inlineStr">
        <is>
          <t>-</t>
        </is>
      </c>
      <c r="F24" s="9" t="inlineStr">
        <is>
          <t>A verificar</t>
        </is>
      </c>
      <c r="G24" s="11" t="inlineStr">
        <is>
          <t>A VERIFICAR</t>
        </is>
      </c>
      <c r="H24" s="10" t="inlineStr">
        <is>
          <t>Padrão dos modelos: classes de solo da região (EMBRAPA/SiBCS), descrição de cada classe, mapa de solos da área e fotos/perfis. Para Candói, identificar as classes no mapa de solos do PR.</t>
        </is>
      </c>
    </row>
    <row r="25" ht="41.25" customHeight="1">
      <c r="B25" s="9" t="inlineStr">
        <is>
          <t>II.4</t>
        </is>
      </c>
      <c r="C25" s="10" t="inlineStr">
        <is>
          <t>Topografia</t>
        </is>
      </c>
      <c r="D25" s="10" t="inlineStr">
        <is>
          <t>3.5.2 Geomorfologia (mapa geomorfológico, relevo, altimetria, declividade)</t>
        </is>
      </c>
      <c r="E25" s="10" t="inlineStr">
        <is>
          <t>-</t>
        </is>
      </c>
      <c r="F25" s="9" t="inlineStr">
        <is>
          <t>A verificar</t>
        </is>
      </c>
      <c r="G25" s="11" t="inlineStr">
        <is>
          <t>A VERIFICAR</t>
        </is>
      </c>
      <c r="H25" s="10" t="inlineStr">
        <is>
          <t>Padrão dos modelos: compartimento geomorfológico (MINEROPAR/UFPR, 2006), subunidade morfoescultural, altitudes, grau de dissecação, figuras de geomorfologia, altimetria e declividade.</t>
        </is>
      </c>
    </row>
    <row r="26" ht="54" customHeight="1">
      <c r="B26" s="9" t="inlineStr">
        <is>
          <t>II.5</t>
        </is>
      </c>
      <c r="C26" s="10" t="inlineStr">
        <is>
          <t>Recursos Hídricos (nascentes, olhos d'água, cursos d'água, etc.)</t>
        </is>
      </c>
      <c r="D26" s="10" t="inlineStr">
        <is>
          <t>3.5.3 Hidrologia</t>
        </is>
      </c>
      <c r="E26" s="10" t="inlineStr">
        <is>
          <t>-</t>
        </is>
      </c>
      <c r="F26" s="9" t="inlineStr">
        <is>
          <t>A verificar</t>
        </is>
      </c>
      <c r="G26" s="11" t="inlineStr">
        <is>
          <t>A VERIFICAR</t>
        </is>
      </c>
      <c r="H26" s="10" t="inlineStr">
        <is>
          <t>Bacia hidrográfica (Resolução CERH/PR nº 49/2006), manancial, classe de enquadramento, área de drenagem no ponto de captação e cursos d'água interceptados (travessias). Os modelos não tratam de nascentes/olhos d'água: declarar presença ou ausência na área.</t>
        </is>
      </c>
    </row>
    <row r="27" ht="54" customHeight="1">
      <c r="B27" s="9" t="inlineStr">
        <is>
          <t>II.6</t>
        </is>
      </c>
      <c r="C27" s="10" t="inlineStr">
        <is>
          <t>Geologia / hidrogeologia / geotecnia</t>
        </is>
      </c>
      <c r="D27" s="10" t="inlineStr">
        <is>
          <t>3.5.4 Geologia; 3.5.5 Hidrogeologia</t>
        </is>
      </c>
      <c r="E27" s="10" t="inlineStr">
        <is>
          <t>-</t>
        </is>
      </c>
      <c r="F27" s="9" t="inlineStr">
        <is>
          <t>A verificar</t>
        </is>
      </c>
      <c r="G27" s="11" t="inlineStr">
        <is>
          <t>A VERIFICAR</t>
        </is>
      </c>
      <c r="H27" s="10" t="inlineStr">
        <is>
          <t>Geologia e hidrogeologia seguem o padrão dos modelos (Bacia do Paraná, aquíferos, poços/BACE Sanepar). Geotecnia não é tratada nos MCEs modelo: incluir (sondagens SPT/trado, se houver no projeto 73349).</t>
        </is>
      </c>
    </row>
    <row r="28" ht="41.25" customHeight="1">
      <c r="B28" s="9" t="inlineStr">
        <is>
          <t>II.7</t>
        </is>
      </c>
      <c r="C28" s="10" t="inlineStr">
        <is>
          <t>Cobertura Vegetal</t>
        </is>
      </c>
      <c r="D28" s="10" t="inlineStr">
        <is>
          <t>3.6 Caracterização Meio Biótico (Cobertura Vegetal)</t>
        </is>
      </c>
      <c r="E28" s="10" t="inlineStr">
        <is>
          <t>-</t>
        </is>
      </c>
      <c r="F28" s="9" t="inlineStr">
        <is>
          <t>A verificar</t>
        </is>
      </c>
      <c r="G28" s="11" t="inlineStr">
        <is>
          <t>A VERIFICAR</t>
        </is>
      </c>
      <c r="H28" s="10" t="inlineStr">
        <is>
          <t>Enquadramento fitogeográfico (IAT, 2023; IBGE, 2012), aspectos da vegetação na área, espécies registradas e remissão ao Inventário Florestal quando houver supressão.</t>
        </is>
      </c>
    </row>
    <row r="29" ht="41.25" customHeight="1">
      <c r="B29" s="9" t="inlineStr">
        <is>
          <t>II.8</t>
        </is>
      </c>
      <c r="C29" s="10" t="inlineStr">
        <is>
          <t>Acessos (alternativas, condições de tráfego)</t>
        </is>
      </c>
      <c r="D29" s="10" t="inlineStr">
        <is>
          <t>3.4 Alternativa de Acessos ao Empreendimento</t>
        </is>
      </c>
      <c r="E29" s="10" t="inlineStr">
        <is>
          <t>-</t>
        </is>
      </c>
      <c r="F29" s="9" t="inlineStr">
        <is>
          <t>A verificar</t>
        </is>
      </c>
      <c r="G29" s="11" t="inlineStr">
        <is>
          <t>A VERIFICAR</t>
        </is>
      </c>
      <c r="H29" s="10" t="inlineStr">
        <is>
          <t>Do estado ao município (rodovias, distâncias de Curitiba) e do município às unidades (alternativas viárias, pavimentação, estradas rurais), com condições de tráfego e obras viárias em andamento.</t>
        </is>
      </c>
    </row>
    <row r="30" ht="54" customHeight="1">
      <c r="B30" s="9" t="inlineStr">
        <is>
          <t>II.9</t>
        </is>
      </c>
      <c r="C30" s="10" t="inlineStr">
        <is>
          <t>Características do entorno (uso do solo, residências, áreas de interesse ambiental, etc.)</t>
        </is>
      </c>
      <c r="D30" s="10" t="inlineStr">
        <is>
          <t>3.5.1.1 Uso do Solo; 3.6.1 APP e Reserva Legal; 3.7 Meio Socioeconômico (3.7.1 Residências, condições do entorno)</t>
        </is>
      </c>
      <c r="E30" s="10" t="inlineStr">
        <is>
          <t>-</t>
        </is>
      </c>
      <c r="F30" s="9" t="inlineStr">
        <is>
          <t>A verificar</t>
        </is>
      </c>
      <c r="G30" s="11" t="inlineStr">
        <is>
          <t>A VERIFICAR</t>
        </is>
      </c>
      <c r="H30" s="10" t="inlineStr">
        <is>
          <t>Uso do solo ao longo do traçado, residências, escolas, igrejas e comércios próximos (registro fotográfico), atrativos culturais/turísticos e áreas de interesse ambiental (APP, RL, UC).</t>
        </is>
      </c>
    </row>
    <row r="31" ht="18" customHeight="1">
      <c r="B31" s="7" t="inlineStr">
        <is>
          <t>III. CROQUI DE LOCALIZAÇÃO DO EMPREENDIMENTO COM IMAGEM AÉREA E CONTENDO NO MÍNIMO:</t>
        </is>
      </c>
      <c r="C31" s="8" t="n"/>
      <c r="D31" s="8" t="n"/>
      <c r="E31" s="8" t="n"/>
      <c r="F31" s="8" t="n"/>
      <c r="G31" s="8" t="n"/>
      <c r="H31" s="8" t="n"/>
    </row>
    <row r="32" ht="41.25" customHeight="1">
      <c r="B32" s="9" t="inlineStr">
        <is>
          <t>III.0</t>
        </is>
      </c>
      <c r="C32" s="10" t="inlineStr">
        <is>
          <t>Croqui elaborado sobre imagem aérea</t>
        </is>
      </c>
      <c r="D32" s="10" t="inlineStr">
        <is>
          <t>Anexos – Croqui / Mapa temático do sistema projetado; figuras do item 3.3</t>
        </is>
      </c>
      <c r="E32" s="10" t="inlineStr">
        <is>
          <t>-</t>
        </is>
      </c>
      <c r="F32" s="9" t="inlineStr">
        <is>
          <t>A verificar</t>
        </is>
      </c>
      <c r="G32" s="11" t="inlineStr">
        <is>
          <t>A VERIFICAR</t>
        </is>
      </c>
      <c r="H32" s="10" t="inlineStr">
        <is>
          <t>Requisito do título da Seção III ('com imagem aérea'), omitido na matriz Palmeira. Verificar se o croqui do MCE Candói tem imagem aérea/de satélite ao fundo.</t>
        </is>
      </c>
    </row>
    <row r="33" ht="28.5" customHeight="1">
      <c r="B33" s="9" t="inlineStr">
        <is>
          <t>III.1</t>
        </is>
      </c>
      <c r="C33" s="10" t="inlineStr">
        <is>
          <t>Implantação da Estação de Tratamento de Água</t>
        </is>
      </c>
      <c r="D33" s="10" t="inlineStr">
        <is>
          <t>Anexos – Croqui; item 3.3</t>
        </is>
      </c>
      <c r="E33" s="10" t="inlineStr">
        <is>
          <t>-</t>
        </is>
      </c>
      <c r="F33" s="9" t="inlineStr">
        <is>
          <t>A verificar</t>
        </is>
      </c>
      <c r="G33" s="11" t="inlineStr">
        <is>
          <t>A VERIFICAR</t>
        </is>
      </c>
      <c r="H33" s="10" t="inlineStr">
        <is>
          <t>Representar a implantação da ETA no croqui.</t>
        </is>
      </c>
    </row>
    <row r="34" ht="15.75" customHeight="1">
      <c r="B34" s="9" t="inlineStr">
        <is>
          <t>III.2</t>
        </is>
      </c>
      <c r="C34" s="10" t="inlineStr">
        <is>
          <t>Manancial de abastecimento</t>
        </is>
      </c>
      <c r="D34" s="10" t="inlineStr">
        <is>
          <t>Anexos – Croqui; item 3.3</t>
        </is>
      </c>
      <c r="E34" s="10" t="inlineStr">
        <is>
          <t>-</t>
        </is>
      </c>
      <c r="F34" s="9" t="inlineStr">
        <is>
          <t>A verificar</t>
        </is>
      </c>
      <c r="G34" s="11" t="inlineStr">
        <is>
          <t>A VERIFICAR</t>
        </is>
      </c>
      <c r="H34" s="10" t="inlineStr">
        <is>
          <t>Representar o manancial e o ponto de captação.</t>
        </is>
      </c>
    </row>
    <row r="35" ht="28.5" customHeight="1">
      <c r="B35" s="9" t="inlineStr">
        <is>
          <t>III.3</t>
        </is>
      </c>
      <c r="C35" s="10" t="inlineStr">
        <is>
          <t>Sistema de adução e captação desde o manancial até a ETA</t>
        </is>
      </c>
      <c r="D35" s="10" t="inlineStr">
        <is>
          <t>Anexos – Croqui; item 3.3</t>
        </is>
      </c>
      <c r="E35" s="10" t="inlineStr">
        <is>
          <t>-</t>
        </is>
      </c>
      <c r="F35" s="9" t="inlineStr">
        <is>
          <t>A verificar</t>
        </is>
      </c>
      <c r="G35" s="11" t="inlineStr">
        <is>
          <t>A VERIFICAR</t>
        </is>
      </c>
      <c r="H35" s="10" t="inlineStr">
        <is>
          <t>Captação, elevatórias, pré-sedimentador (se houver) e traçado das adutoras de água bruta até a ETA.</t>
        </is>
      </c>
    </row>
    <row r="36" ht="28.5" customHeight="1">
      <c r="B36" s="9" t="inlineStr">
        <is>
          <t>III.4</t>
        </is>
      </c>
      <c r="C36" s="10" t="inlineStr">
        <is>
          <t>Sistema de armazenamento e distribuição</t>
        </is>
      </c>
      <c r="D36" s="10" t="inlineStr">
        <is>
          <t>Anexos – Croqui; item 3.3</t>
        </is>
      </c>
      <c r="E36" s="10" t="inlineStr">
        <is>
          <t>-</t>
        </is>
      </c>
      <c r="F36" s="9" t="inlineStr">
        <is>
          <t>A verificar</t>
        </is>
      </c>
      <c r="G36" s="11" t="inlineStr">
        <is>
          <t>A VERIFICAR</t>
        </is>
      </c>
      <c r="H36" s="10" t="inlineStr">
        <is>
          <t>Reservatórios, elevatórias de água tratada, adutoras de água tratada e rede de distribuição.</t>
        </is>
      </c>
    </row>
    <row r="37" ht="28.5" customHeight="1">
      <c r="B37" s="9" t="inlineStr">
        <is>
          <t>III.5</t>
        </is>
      </c>
      <c r="C37" s="10" t="inlineStr">
        <is>
          <t>Delimitação de imóveis de terceiros afetados (com indicação do número da matrícula)</t>
        </is>
      </c>
      <c r="D37" s="10" t="inlineStr">
        <is>
          <t>Anexos – Croqui; item 4.2 (desapropriação)</t>
        </is>
      </c>
      <c r="E37" s="10" t="inlineStr">
        <is>
          <t>-</t>
        </is>
      </c>
      <c r="F37" s="9" t="inlineStr">
        <is>
          <t>A verificar</t>
        </is>
      </c>
      <c r="G37" s="11" t="inlineStr">
        <is>
          <t>A VERIFICAR</t>
        </is>
      </c>
      <c r="H37" s="10" t="inlineStr">
        <is>
          <t>Não atendido nos MCEs modelo (sem números de matrícula). Obter matrículas dos imóveis a desapropriar/servidão junto à Sanepar.</t>
        </is>
      </c>
    </row>
    <row r="38" ht="15.75" customHeight="1">
      <c r="B38" s="9" t="inlineStr">
        <is>
          <t>III.6</t>
        </is>
      </c>
      <c r="C38" s="10" t="inlineStr">
        <is>
          <t>Cursos hídricos</t>
        </is>
      </c>
      <c r="D38" s="10" t="inlineStr">
        <is>
          <t>Anexos – Croqui; item 3.5.3</t>
        </is>
      </c>
      <c r="E38" s="10" t="inlineStr">
        <is>
          <t>-</t>
        </is>
      </c>
      <c r="F38" s="9" t="inlineStr">
        <is>
          <t>A verificar</t>
        </is>
      </c>
      <c r="G38" s="11" t="inlineStr">
        <is>
          <t>A VERIFICAR</t>
        </is>
      </c>
      <c r="H38" s="10" t="inlineStr">
        <is>
          <t>Representar os cursos hídricos e os pontos de travessia.</t>
        </is>
      </c>
    </row>
    <row r="39" ht="28.5" customHeight="1">
      <c r="B39" s="9" t="inlineStr">
        <is>
          <t>III.7</t>
        </is>
      </c>
      <c r="C39" s="10" t="inlineStr">
        <is>
          <t>Cobertura florestal das áreas afetadas</t>
        </is>
      </c>
      <c r="D39" s="10" t="inlineStr">
        <is>
          <t>Anexos – Croqui; item 3.6</t>
        </is>
      </c>
      <c r="E39" s="10" t="inlineStr">
        <is>
          <t>-</t>
        </is>
      </c>
      <c r="F39" s="9" t="inlineStr">
        <is>
          <t>A verificar</t>
        </is>
      </c>
      <c r="G39" s="11" t="inlineStr">
        <is>
          <t>A VERIFICAR</t>
        </is>
      </c>
      <c r="H39" s="10" t="inlineStr">
        <is>
          <t>Representar a vegetação nas áreas de intervenção (base: Inventário Florestal, se houver).</t>
        </is>
      </c>
    </row>
    <row r="40" ht="15.75" customHeight="1">
      <c r="B40" s="9" t="inlineStr">
        <is>
          <t>III.8</t>
        </is>
      </c>
      <c r="C40" s="10" t="inlineStr">
        <is>
          <t>Áreas de Preservação Permanente</t>
        </is>
      </c>
      <c r="D40" s="10" t="inlineStr">
        <is>
          <t>Anexos – Croqui; item 3.6.1</t>
        </is>
      </c>
      <c r="E40" s="10" t="inlineStr">
        <is>
          <t>-</t>
        </is>
      </c>
      <c r="F40" s="9" t="inlineStr">
        <is>
          <t>A verificar</t>
        </is>
      </c>
      <c r="G40" s="11" t="inlineStr">
        <is>
          <t>A VERIFICAR</t>
        </is>
      </c>
      <c r="H40" s="10" t="inlineStr">
        <is>
          <t>Delimitar APP (Lei nº 12.651/2012 e CAR/SICAR).</t>
        </is>
      </c>
    </row>
    <row r="41" ht="28.5" customHeight="1">
      <c r="B41" s="9" t="inlineStr">
        <is>
          <t>III.9</t>
        </is>
      </c>
      <c r="C41" s="10" t="inlineStr">
        <is>
          <t>Reserva legal e demais áreas relevantes</t>
        </is>
      </c>
      <c r="D41" s="10" t="inlineStr">
        <is>
          <t>Anexos – Croqui; item 3.6.1</t>
        </is>
      </c>
      <c r="E41" s="10" t="inlineStr">
        <is>
          <t>-</t>
        </is>
      </c>
      <c r="F41" s="9" t="inlineStr">
        <is>
          <t>A verificar</t>
        </is>
      </c>
      <c r="G41" s="11" t="inlineStr">
        <is>
          <t>A VERIFICAR</t>
        </is>
      </c>
      <c r="H41" s="10" t="inlineStr">
        <is>
          <t>Delimitar Reserva Legal (CAR/SICAR) e demais áreas relevantes (UC, zona de amortecimento, áreas de manancial etc.).</t>
        </is>
      </c>
    </row>
    <row r="42" ht="18" customHeight="1">
      <c r="B42" s="7" t="inlineStr">
        <is>
          <t>IV. CARACTERIZAÇÃO DO EMPREENDIMENTO</t>
        </is>
      </c>
      <c r="C42" s="8" t="n"/>
      <c r="D42" s="8" t="n"/>
      <c r="E42" s="8" t="n"/>
      <c r="F42" s="8" t="n"/>
      <c r="G42" s="8" t="n"/>
      <c r="H42" s="8" t="n"/>
    </row>
    <row r="43" ht="28.5" customHeight="1">
      <c r="B43" s="9" t="inlineStr">
        <is>
          <t>IV.1</t>
        </is>
      </c>
      <c r="C43" s="10" t="inlineStr">
        <is>
          <t>Tipo de atividade do empreendimento, de acordo com o CNAE (citar o número do CNAE)</t>
        </is>
      </c>
      <c r="D43" s="10" t="inlineStr">
        <is>
          <t>4.1 Tipo de Atividade do Empreendimento</t>
        </is>
      </c>
      <c r="E43" s="10" t="inlineStr">
        <is>
          <t>[MCE-PAL] item 4.1; [MCE-ER] item 4.1</t>
        </is>
      </c>
      <c r="F43" s="9" t="inlineStr">
        <is>
          <t>Sim</t>
        </is>
      </c>
      <c r="G43" s="12" t="inlineStr">
        <is>
          <t>DÚVIDA/VALIDAÇÃO NECESSÁRIA</t>
        </is>
      </c>
      <c r="H43" s="10" t="inlineStr">
        <is>
          <t>MCEs modelo: CNAE 3600-6/01 (Captação, tratamento e distribuição de água). Confirmar enquadramento para o SAA Candói.</t>
        </is>
      </c>
    </row>
    <row r="44" ht="41.25" customHeight="1">
      <c r="B44" s="9" t="inlineStr">
        <is>
          <t>IV.2</t>
        </is>
      </c>
      <c r="C44" s="10" t="inlineStr">
        <is>
          <t>Descritivo da obra a ser implantada e a descrição das intervenções necessárias</t>
        </is>
      </c>
      <c r="D44" s="10" t="inlineStr">
        <is>
          <t>4.2 Descritivo da Obra a ser Implantada e Descrição das Intervenções Necessárias</t>
        </is>
      </c>
      <c r="E44" s="10" t="inlineStr">
        <is>
          <t>-</t>
        </is>
      </c>
      <c r="F44" s="9" t="inlineStr">
        <is>
          <t>A verificar</t>
        </is>
      </c>
      <c r="G44" s="11" t="inlineStr">
        <is>
          <t>A VERIFICAR</t>
        </is>
      </c>
      <c r="H44" s="10" t="inlineStr">
        <is>
          <t>Contexto do sistema existente (capacidade, déficit) e concepção do novo sistema; em seguida, intervenções em tópicos (supressão, desapropriação, acessos, interligações). Ver também IV.9.</t>
        </is>
      </c>
    </row>
    <row r="45" ht="18" customHeight="1">
      <c r="B45" s="14" t="inlineStr">
        <is>
          <t>Descrição do empreendimento e apresentação das suas características técnicas (item 4.3 do MCE):</t>
        </is>
      </c>
      <c r="C45" s="8" t="n"/>
      <c r="D45" s="8" t="n"/>
      <c r="E45" s="8" t="n"/>
      <c r="F45" s="8" t="n"/>
      <c r="G45" s="8" t="n"/>
      <c r="H45" s="8" t="n"/>
    </row>
    <row r="46" ht="54" customHeight="1">
      <c r="B46" s="9" t="inlineStr">
        <is>
          <t>IV.3</t>
        </is>
      </c>
      <c r="C46" s="10" t="inlineStr">
        <is>
          <t>População atendida</t>
        </is>
      </c>
      <c r="D46" s="10" t="inlineStr">
        <is>
          <t>4.3.1 População Atendida</t>
        </is>
      </c>
      <c r="E46" s="10" t="inlineStr">
        <is>
          <t>-</t>
        </is>
      </c>
      <c r="F46" s="9" t="inlineStr">
        <is>
          <t>A verificar</t>
        </is>
      </c>
      <c r="G46" s="11" t="inlineStr">
        <is>
          <t>A VERIFICAR</t>
        </is>
      </c>
      <c r="H46" s="10" t="inlineStr">
        <is>
          <t>Início e final de plano (habitantes e demanda em m³/dia), horizonte, taxa de ocupação, taxa de crescimento, per capita e coeficientes K1/K2. Conferir coerência entre tabelas do estudo populacional (no MCE Entre Rios houve divergência 16.453 x 13.497 hab.).</t>
        </is>
      </c>
    </row>
    <row r="47" ht="54" customHeight="1">
      <c r="B47" s="9" t="inlineStr">
        <is>
          <t>IV.4</t>
        </is>
      </c>
      <c r="C47" s="10" t="inlineStr">
        <is>
          <t>Capacidade nominal e máxima da Estação de Tratamento de Água</t>
        </is>
      </c>
      <c r="D47" s="10" t="inlineStr">
        <is>
          <t>4.3.2 Capacidade Nominal e Máxima da ETA</t>
        </is>
      </c>
      <c r="E47" s="10" t="inlineStr">
        <is>
          <t>-</t>
        </is>
      </c>
      <c r="F47" s="9" t="inlineStr">
        <is>
          <t>A verificar</t>
        </is>
      </c>
      <c r="G47" s="11" t="inlineStr">
        <is>
          <t>A VERIFICAR</t>
        </is>
      </c>
      <c r="H47" s="10" t="inlineStr">
        <is>
          <t>Informar explicitamente os DOIS valores (nominal e máxima), em L/s e m³/h, e o regime de operação. Os modelos informam apenas a nominal; a vazão define o porte (Anexo I: até 30 L/s pequeno; &gt;30 a 500 L/s médio; &gt;500 L/s grande).</t>
        </is>
      </c>
    </row>
    <row r="48" ht="28.5" customHeight="1">
      <c r="B48" s="9" t="inlineStr">
        <is>
          <t>IV.5</t>
        </is>
      </c>
      <c r="C48" s="10" t="inlineStr">
        <is>
          <t>Manancial de abastecimento</t>
        </is>
      </c>
      <c r="D48" s="10" t="inlineStr">
        <is>
          <t>4.3.3 Manancial de Abastecimento</t>
        </is>
      </c>
      <c r="E48" s="10" t="inlineStr">
        <is>
          <t>-</t>
        </is>
      </c>
      <c r="F48" s="9" t="inlineStr">
        <is>
          <t>A verificar</t>
        </is>
      </c>
      <c r="G48" s="11" t="inlineStr">
        <is>
          <t>A VERIFICAR</t>
        </is>
      </c>
      <c r="H48" s="10" t="inlineStr">
        <is>
          <t>Nome do manancial, bacia, tipo de captação (superficial/subterrânea), localização e unidades existentes que permanecem em operação.</t>
        </is>
      </c>
    </row>
    <row r="49" ht="54" customHeight="1">
      <c r="B49" s="9" t="inlineStr">
        <is>
          <t>IV.6</t>
        </is>
      </c>
      <c r="C49" s="10" t="inlineStr">
        <is>
          <t>Portaria de Outorga para lançamento de efluentes</t>
        </is>
      </c>
      <c r="D49" s="10" t="inlineStr">
        <is>
          <t>4.3.4 Lançamento de Efluentes</t>
        </is>
      </c>
      <c r="E49" s="10" t="inlineStr">
        <is>
          <t>-</t>
        </is>
      </c>
      <c r="F49" s="9" t="inlineStr">
        <is>
          <t>A verificar</t>
        </is>
      </c>
      <c r="G49" s="11" t="inlineStr">
        <is>
          <t>A VERIFICAR</t>
        </is>
      </c>
      <c r="H49" s="10" t="inlineStr">
        <is>
          <t>Citar número/data da Portaria de Outorga de lançamento (ou declaração de uso independente/insignificante). Os MCEs modelo descrevem o efluente mas não citam portaria de lançamento: lacuna recorrente.</t>
        </is>
      </c>
    </row>
    <row r="50" ht="41.25" customHeight="1">
      <c r="B50" s="9" t="inlineStr">
        <is>
          <t>IV.7</t>
        </is>
      </c>
      <c r="C50" s="10" t="inlineStr">
        <is>
          <t>Descrição das Unidades que compõem o sistema</t>
        </is>
      </c>
      <c r="D50" s="10" t="inlineStr">
        <is>
          <t>4.3.5 Descrição das Unidades (tabela) e 4.3.7 Projetos das Unidades (Quadro 4)</t>
        </is>
      </c>
      <c r="E50" s="10" t="inlineStr">
        <is>
          <t>-</t>
        </is>
      </c>
      <c r="F50" s="9" t="inlineStr">
        <is>
          <t>A verificar</t>
        </is>
      </c>
      <c r="G50" s="11" t="inlineStr">
        <is>
          <t>A VERIFICAR</t>
        </is>
      </c>
      <c r="H50" s="10" t="inlineStr">
        <is>
          <t>Tabela Unidade | Características principais (vazão, Hm, potência, volumes, materiais, extensões) e Quadro 4 relacionando cada unidade ao anexo de projeto.</t>
        </is>
      </c>
    </row>
    <row r="51" ht="54" customHeight="1">
      <c r="B51" s="9" t="inlineStr">
        <is>
          <t>IV.8</t>
        </is>
      </c>
      <c r="C51" s="10" t="inlineStr">
        <is>
          <t>Descrição do sistema de tratamento adotado</t>
        </is>
      </c>
      <c r="D51" s="10" t="inlineStr">
        <is>
          <t>4.3.6 Descrição do Sistema de Tratamento Adotado</t>
        </is>
      </c>
      <c r="E51" s="10" t="inlineStr">
        <is>
          <t>-</t>
        </is>
      </c>
      <c r="F51" s="9" t="inlineStr">
        <is>
          <t>A verificar</t>
        </is>
      </c>
      <c r="G51" s="11" t="inlineStr">
        <is>
          <t>A VERIFICAR</t>
        </is>
      </c>
      <c r="H51" s="10" t="inlineStr">
        <is>
          <t>Tópicos na sequência do processo: entrada de água bruta, mistura/coagulação, floculação, decantação, filtração, desinfecção, correção de pH, fluoretação, tanques de produtos químicos, casa de química, elevatórias, tratamento/destino do lodo.</t>
        </is>
      </c>
    </row>
    <row r="52" ht="54" customHeight="1">
      <c r="B52" s="9" t="inlineStr">
        <is>
          <t>IV.9</t>
        </is>
      </c>
      <c r="C52" s="10" t="inlineStr">
        <is>
          <t>Descritivo da obra a ser implantada e a descrição das intervenções necessárias, tais como necessidade de supressão de vegetação, escavações ou alterações de solo</t>
        </is>
      </c>
      <c r="D52" s="10" t="inlineStr">
        <is>
          <t>4.2 Descritivo da Obra e Intervenções</t>
        </is>
      </c>
      <c r="E52" s="10" t="inlineStr">
        <is>
          <t>-</t>
        </is>
      </c>
      <c r="F52" s="9" t="inlineStr">
        <is>
          <t>A verificar</t>
        </is>
      </c>
      <c r="G52" s="11" t="inlineStr">
        <is>
          <t>A VERIFICAR</t>
        </is>
      </c>
      <c r="H52" s="10" t="inlineStr">
        <is>
          <t>Item repetido no próprio texto do Anexo VI, com detalhamento. Quantificar supressão (ha, por trecho, em APP ou não), escavações, cortes/aterros e alterações de solo. Os modelos não quantificam escavações/movimentação de solo.</t>
        </is>
      </c>
    </row>
    <row r="53" ht="18" customHeight="1">
      <c r="B53" s="7" t="inlineStr">
        <is>
          <t>V. EXIGÊNCIAS COMPLEMENTARES DA IN 37/2025 (fora do Anexo VI, com reflexo no MCE / processo)</t>
        </is>
      </c>
      <c r="C53" s="8" t="n"/>
      <c r="D53" s="8" t="n"/>
      <c r="E53" s="8" t="n"/>
      <c r="F53" s="8" t="n"/>
      <c r="G53" s="8" t="n"/>
      <c r="H53" s="8" t="n"/>
    </row>
    <row r="54" ht="54" customHeight="1">
      <c r="B54" s="9" t="inlineStr">
        <is>
          <t>V.1</t>
        </is>
      </c>
      <c r="C54" s="10" t="inlineStr">
        <is>
          <t>Definição do porte e da modalidade de licenciamento (vazão de alcance de projeto)</t>
        </is>
      </c>
      <c r="D54" s="10" t="inlineStr">
        <is>
          <t>1 Apresentação; 4.3.2</t>
        </is>
      </c>
      <c r="E54" s="10" t="inlineStr">
        <is>
          <t>[IN37] Art. 7º, 8º, 11 e Anexo I</t>
        </is>
      </c>
      <c r="F54" s="9" t="inlineStr">
        <is>
          <t>A verificar</t>
        </is>
      </c>
      <c r="G54" s="11" t="inlineStr">
        <is>
          <t>A VERIFICAR</t>
        </is>
      </c>
      <c r="H54" s="10" t="inlineStr">
        <is>
          <t>SAA: pequeno até 30 L/s; médio &gt;30 até 500 L/s (LP/MCE); grande &gt;500 L/s (LP/RAP). ETA até 30 L/s: LAC (Art. 11, II), que também exige MCE (Art. 12, VI). Informar a vazão de alcance do SAA Candói e o enquadramento.</t>
        </is>
      </c>
    </row>
    <row r="55" ht="41.25" customHeight="1">
      <c r="B55" s="9" t="inlineStr">
        <is>
          <t>V.2</t>
        </is>
      </c>
      <c r="C55" s="10" t="inlineStr">
        <is>
          <t>Ampliação: informações do sistema em operação + ampliação prevista</t>
        </is>
      </c>
      <c r="D55" s="10" t="inlineStr">
        <is>
          <t>4.2; 4.3</t>
        </is>
      </c>
      <c r="E55" s="10" t="inlineStr">
        <is>
          <t>[IN37] Art. 28 e 29</t>
        </is>
      </c>
      <c r="F55" s="9" t="inlineStr">
        <is>
          <t>A verificar</t>
        </is>
      </c>
      <c r="G55" s="11" t="inlineStr">
        <is>
          <t>A VERIFICAR</t>
        </is>
      </c>
      <c r="H55" s="10" t="inlineStr">
        <is>
          <t>Se o SAA Candói for ampliação de sistema licenciado, o MCE deve contemplar o empreendimento em operação e a ampliação (licenciamento LPA, Art. 34 e 35).</t>
        </is>
      </c>
    </row>
    <row r="56" ht="66.75" customHeight="1">
      <c r="B56" s="9" t="inlineStr">
        <is>
          <t>V.3</t>
        </is>
      </c>
      <c r="C56" s="10" t="inlineStr">
        <is>
          <t>Sistema de tratamento de lodo da ETA</t>
        </is>
      </c>
      <c r="D56" s="10" t="inlineStr">
        <is>
          <t>4.3.4; 4.3.5; 4.3.6</t>
        </is>
      </c>
      <c r="E56" s="10" t="inlineStr">
        <is>
          <t>[IN37] Art. 54, 55, 56 e 57</t>
        </is>
      </c>
      <c r="F56" s="9" t="inlineStr">
        <is>
          <t>A verificar</t>
        </is>
      </c>
      <c r="G56" s="11" t="inlineStr">
        <is>
          <t>A VERIFICAR</t>
        </is>
      </c>
      <c r="H56" s="10" t="inlineStr">
        <is>
          <t>O licenciamento abrange a ETA e o respectivo sistema de tratamento de lodo. ETA &gt;30 L/s deve implantar tratamento e disposição final de efluentes e resíduos (prazo máximo 3 anos, com Termo de Compromisso). Relatório de monitoramento de resíduos: a cada 2 anos (≤30 L/s) ou anual (&gt;30 L/s).</t>
        </is>
      </c>
    </row>
    <row r="57" ht="41.25" customHeight="1">
      <c r="B57" s="9" t="inlineStr">
        <is>
          <t>V.4</t>
        </is>
      </c>
      <c r="C57" s="10" t="inlineStr">
        <is>
          <t>Croqui com as áreas afetadas pelo SAA: imagem de satélite atualizada ao fundo</t>
        </is>
      </c>
      <c r="D57" s="10" t="inlineStr">
        <is>
          <t>Anexos – Croqui</t>
        </is>
      </c>
      <c r="E57" s="10" t="inlineStr">
        <is>
          <t>[IN37] Art. 17, XIII, a (LP) / Art. 12, XVI (LAC) / Art. 35, XV (LPA)</t>
        </is>
      </c>
      <c r="F57" s="9" t="inlineStr">
        <is>
          <t>A verificar</t>
        </is>
      </c>
      <c r="G57" s="11" t="inlineStr">
        <is>
          <t>A VERIFICAR</t>
        </is>
      </c>
      <c r="H57" s="10" t="inlineStr">
        <is>
          <t>Documento do protocolo, complementar ao croqui do Anexo VI.</t>
        </is>
      </c>
    </row>
    <row r="58" ht="28.5" customHeight="1">
      <c r="B58" s="9" t="inlineStr">
        <is>
          <t>V.5</t>
        </is>
      </c>
      <c r="C58" s="10" t="inlineStr">
        <is>
          <t>Croqui de áreas afetadas: traçados da implantação das unidades (ETA etc.)</t>
        </is>
      </c>
      <c r="D58" s="10" t="inlineStr">
        <is>
          <t>Anexos – Croqui</t>
        </is>
      </c>
      <c r="E58" s="10" t="inlineStr">
        <is>
          <t>[IN37] Art. 17, XIII, b</t>
        </is>
      </c>
      <c r="F58" s="9" t="inlineStr">
        <is>
          <t>A verificar</t>
        </is>
      </c>
      <c r="G58" s="11" t="inlineStr">
        <is>
          <t>A VERIFICAR</t>
        </is>
      </c>
      <c r="H58" s="10" t="inlineStr">
        <is>
          <t>-</t>
        </is>
      </c>
    </row>
    <row r="59" ht="28.5" customHeight="1">
      <c r="B59" s="9" t="inlineStr">
        <is>
          <t>V.6</t>
        </is>
      </c>
      <c r="C59" s="10" t="inlineStr">
        <is>
          <t>Croqui de áreas afetadas: traçados das obras lineares</t>
        </is>
      </c>
      <c r="D59" s="10" t="inlineStr">
        <is>
          <t>Anexos – Croqui</t>
        </is>
      </c>
      <c r="E59" s="10" t="inlineStr">
        <is>
          <t>[IN37] Art. 17, XIII, c</t>
        </is>
      </c>
      <c r="F59" s="9" t="inlineStr">
        <is>
          <t>A verificar</t>
        </is>
      </c>
      <c r="G59" s="11" t="inlineStr">
        <is>
          <t>A VERIFICAR</t>
        </is>
      </c>
      <c r="H59" s="10" t="inlineStr">
        <is>
          <t>Adutoras e redes.</t>
        </is>
      </c>
    </row>
    <row r="60" ht="28.5" customHeight="1">
      <c r="B60" s="9" t="inlineStr">
        <is>
          <t>V.7</t>
        </is>
      </c>
      <c r="C60" s="10" t="inlineStr">
        <is>
          <t>Croqui de áreas afetadas: identificação de interferências em sistemas viários</t>
        </is>
      </c>
      <c r="D60" s="10" t="inlineStr">
        <is>
          <t>Anexos – Croqui; 3.4</t>
        </is>
      </c>
      <c r="E60" s="10" t="inlineStr">
        <is>
          <t>[IN37] Art. 17, XIII, d</t>
        </is>
      </c>
      <c r="F60" s="9" t="inlineStr">
        <is>
          <t>A verificar</t>
        </is>
      </c>
      <c r="G60" s="11" t="inlineStr">
        <is>
          <t>A VERIFICAR</t>
        </is>
      </c>
      <c r="H60" s="10" t="inlineStr">
        <is>
          <t>Cruzamentos com rodovias/estradas (DER, DNIT, municípios).</t>
        </is>
      </c>
    </row>
    <row r="61" ht="28.5" customHeight="1">
      <c r="B61" s="9" t="inlineStr">
        <is>
          <t>V.8</t>
        </is>
      </c>
      <c r="C61" s="10" t="inlineStr">
        <is>
          <t>Croqui de áreas afetadas: APP atingidas por todas as áreas de intervenção</t>
        </is>
      </c>
      <c r="D61" s="10" t="inlineStr">
        <is>
          <t>Anexos – Croqui; 3.6.1</t>
        </is>
      </c>
      <c r="E61" s="10" t="inlineStr">
        <is>
          <t>[IN37] Art. 17, XIII, e</t>
        </is>
      </c>
      <c r="F61" s="9" t="inlineStr">
        <is>
          <t>A verificar</t>
        </is>
      </c>
      <c r="G61" s="11" t="inlineStr">
        <is>
          <t>A VERIFICAR</t>
        </is>
      </c>
      <c r="H61" s="10" t="inlineStr">
        <is>
          <t>-</t>
        </is>
      </c>
    </row>
    <row r="62" ht="28.5" customHeight="1">
      <c r="B62" s="9" t="inlineStr">
        <is>
          <t>V.9</t>
        </is>
      </c>
      <c r="C62" s="10" t="inlineStr">
        <is>
          <t>Croqui de áreas afetadas: delimitação de imóveis de terceiros (nº da matrícula)</t>
        </is>
      </c>
      <c r="D62" s="10" t="inlineStr">
        <is>
          <t>Anexos – Croqui</t>
        </is>
      </c>
      <c r="E62" s="10" t="inlineStr">
        <is>
          <t>[IN37] Art. 17, XIII, f</t>
        </is>
      </c>
      <c r="F62" s="9" t="inlineStr">
        <is>
          <t>A verificar</t>
        </is>
      </c>
      <c r="G62" s="11" t="inlineStr">
        <is>
          <t>A VERIFICAR</t>
        </is>
      </c>
      <c r="H62" s="10" t="inlineStr">
        <is>
          <t>Mesmo requisito do item III.5.</t>
        </is>
      </c>
    </row>
    <row r="63" ht="41.25" customHeight="1">
      <c r="B63" s="9" t="inlineStr">
        <is>
          <t>V.10</t>
        </is>
      </c>
      <c r="C63" s="10" t="inlineStr">
        <is>
          <t>Croqui de áreas afetadas: traçado dos cursos hídricos e coordenadas geográficas das travessias</t>
        </is>
      </c>
      <c r="D63" s="10" t="inlineStr">
        <is>
          <t>Anexos – Croqui; 3.3</t>
        </is>
      </c>
      <c r="E63" s="10" t="inlineStr">
        <is>
          <t>[IN37] Art. 17, XIII, g</t>
        </is>
      </c>
      <c r="F63" s="9" t="inlineStr">
        <is>
          <t>A verificar</t>
        </is>
      </c>
      <c r="G63" s="11" t="inlineStr">
        <is>
          <t>A VERIFICAR</t>
        </is>
      </c>
      <c r="H63" s="10" t="inlineStr">
        <is>
          <t>Coordenadas conforme outorga/declaração de uso independente.</t>
        </is>
      </c>
    </row>
    <row r="64" ht="28.5" customHeight="1">
      <c r="B64" s="9" t="inlineStr">
        <is>
          <t>V.11</t>
        </is>
      </c>
      <c r="C64" s="10" t="inlineStr">
        <is>
          <t>Croqui de áreas afetadas: áreas que necessitarão de supressão</t>
        </is>
      </c>
      <c r="D64" s="10" t="inlineStr">
        <is>
          <t>Anexos – Croqui; 4.2</t>
        </is>
      </c>
      <c r="E64" s="10" t="inlineStr">
        <is>
          <t>[IN37] Art. 17, XIII, h</t>
        </is>
      </c>
      <c r="F64" s="9" t="inlineStr">
        <is>
          <t>A verificar</t>
        </is>
      </c>
      <c r="G64" s="11" t="inlineStr">
        <is>
          <t>A VERIFICAR</t>
        </is>
      </c>
      <c r="H64" s="10" t="inlineStr">
        <is>
          <t>-</t>
        </is>
      </c>
    </row>
    <row r="65" ht="28.5" customHeight="1">
      <c r="B65" s="9" t="inlineStr">
        <is>
          <t>V.12</t>
        </is>
      </c>
      <c r="C65" s="10" t="inlineStr">
        <is>
          <t>Croqui de áreas afetadas: Reservas Legais e demais áreas relevantes</t>
        </is>
      </c>
      <c r="D65" s="10" t="inlineStr">
        <is>
          <t>Anexos – Croqui; 3.6.1</t>
        </is>
      </c>
      <c r="E65" s="10" t="inlineStr">
        <is>
          <t>[IN37] Art. 17, XIII, i</t>
        </is>
      </c>
      <c r="F65" s="9" t="inlineStr">
        <is>
          <t>A verificar</t>
        </is>
      </c>
      <c r="G65" s="11" t="inlineStr">
        <is>
          <t>A VERIFICAR</t>
        </is>
      </c>
      <c r="H65" s="10" t="inlineStr">
        <is>
          <t>-</t>
        </is>
      </c>
    </row>
    <row r="66" ht="41.25" customHeight="1">
      <c r="B66" s="9" t="inlineStr">
        <is>
          <t>V.13</t>
        </is>
      </c>
      <c r="C66" s="10" t="inlineStr">
        <is>
          <t>Mapa de situação (ETA) com imagem aérea, SIRGAS 2000/UTM, e arquivos .kml/.kmz</t>
        </is>
      </c>
      <c r="D66" s="10" t="inlineStr">
        <is>
          <t>Documento do protocolo</t>
        </is>
      </c>
      <c r="E66" s="10" t="inlineStr">
        <is>
          <t>[IN37] Art. 17, I (LP) / Art. 12, I (LAC) / Art. 35, III (LPA)</t>
        </is>
      </c>
      <c r="F66" s="9" t="inlineStr">
        <is>
          <t>A verificar</t>
        </is>
      </c>
      <c r="G66" s="11" t="inlineStr">
        <is>
          <t>A VERIFICAR</t>
        </is>
      </c>
      <c r="H66" s="10" t="inlineStr">
        <is>
          <t>Mínimo: limites da propriedade (matrícula/CAR), estruturas físicas, distância dos corpos hídricos, APP, RL e maciços florestais, áreas com restrições, pontos de referência e vetoriais .kml/.kmz.</t>
        </is>
      </c>
    </row>
    <row r="67" ht="28.5" customHeight="1">
      <c r="B67" s="9" t="inlineStr">
        <is>
          <t>V.14</t>
        </is>
      </c>
      <c r="C67" s="10" t="inlineStr">
        <is>
          <t>Portaria(s) de Outorga Prévia / Declaração de Uso Independente ou Insignificante</t>
        </is>
      </c>
      <c r="D67" s="10" t="inlineStr">
        <is>
          <t>4.3.2; 4.3.3; 4.3.4</t>
        </is>
      </c>
      <c r="E67" s="10" t="inlineStr">
        <is>
          <t>[IN37] Art. 17, VIII</t>
        </is>
      </c>
      <c r="F67" s="9" t="inlineStr">
        <is>
          <t>A verificar</t>
        </is>
      </c>
      <c r="G67" s="11" t="inlineStr">
        <is>
          <t>A VERIFICAR</t>
        </is>
      </c>
      <c r="H67" s="10" t="inlineStr">
        <is>
          <t>Captação, lançamento e intervenções de obras (travessias). Citar no MCE as portarias existentes.</t>
        </is>
      </c>
    </row>
    <row r="68" ht="28.5" customHeight="1">
      <c r="B68" s="9" t="inlineStr">
        <is>
          <t>V.15</t>
        </is>
      </c>
      <c r="C68" s="10" t="inlineStr">
        <is>
          <t>Relatório de caracterização da flora (quando houver supressão de vegetação nativa)</t>
        </is>
      </c>
      <c r="D68" s="10" t="inlineStr">
        <is>
          <t>3.6; 4.2</t>
        </is>
      </c>
      <c r="E68" s="10" t="inlineStr">
        <is>
          <t>[IN37] Art. 17, X e Art. 18</t>
        </is>
      </c>
      <c r="F68" s="9" t="inlineStr">
        <is>
          <t>A verificar</t>
        </is>
      </c>
      <c r="G68" s="11" t="inlineStr">
        <is>
          <t>A VERIFICAR</t>
        </is>
      </c>
      <c r="H68" s="10" t="inlineStr">
        <is>
          <t>LP só é emitida após manifestação sobre a tipologia florestal e a viabilidade da supressão.</t>
        </is>
      </c>
    </row>
    <row r="69" ht="15.75" customHeight="1">
      <c r="B69" s="9" t="inlineStr">
        <is>
          <t>V.16</t>
        </is>
      </c>
      <c r="C69" s="10" t="inlineStr">
        <is>
          <t>Estudo de fauna</t>
        </is>
      </c>
      <c r="D69" s="10" t="inlineStr">
        <is>
          <t>3.6</t>
        </is>
      </c>
      <c r="E69" s="10" t="inlineStr">
        <is>
          <t>[IN37] Art. 17, XII</t>
        </is>
      </c>
      <c r="F69" s="9" t="inlineStr">
        <is>
          <t>A verificar</t>
        </is>
      </c>
      <c r="G69" s="11" t="inlineStr">
        <is>
          <t>A VERIFICAR</t>
        </is>
      </c>
      <c r="H69" s="10" t="inlineStr">
        <is>
          <t>Conforme Instrução Normativa específica.</t>
        </is>
      </c>
    </row>
    <row r="70" ht="28.5" customHeight="1">
      <c r="B70" s="9" t="inlineStr">
        <is>
          <t>V.17</t>
        </is>
      </c>
      <c r="C70" s="10" t="inlineStr">
        <is>
          <t>Unidades de Conservação e zonas de amortecimento</t>
        </is>
      </c>
      <c r="D70" s="10" t="inlineStr">
        <is>
          <t>3.6; 3.7</t>
        </is>
      </c>
      <c r="E70" s="10" t="inlineStr">
        <is>
          <t>[IN37] Art. 76</t>
        </is>
      </c>
      <c r="F70" s="9" t="inlineStr">
        <is>
          <t>A verificar</t>
        </is>
      </c>
      <c r="G70" s="11" t="inlineStr">
        <is>
          <t>A VERIFICAR</t>
        </is>
      </c>
      <c r="H70" s="10" t="inlineStr">
        <is>
          <t>Verificar se o empreendimento está em UC estadual ou zona de amortecimento.</t>
        </is>
      </c>
    </row>
    <row r="71" ht="28.5" customHeight="1">
      <c r="B71" s="9" t="inlineStr">
        <is>
          <t>V.18</t>
        </is>
      </c>
      <c r="C71" s="10" t="inlineStr">
        <is>
          <t>Área de manancial</t>
        </is>
      </c>
      <c r="D71" s="10" t="inlineStr">
        <is>
          <t>3.5.3; 4.3.3</t>
        </is>
      </c>
      <c r="E71" s="10" t="inlineStr">
        <is>
          <t>[IN37] Art. 77</t>
        </is>
      </c>
      <c r="F71" s="9" t="inlineStr">
        <is>
          <t>A verificar</t>
        </is>
      </c>
      <c r="G71" s="11" t="inlineStr">
        <is>
          <t>A VERIFICAR</t>
        </is>
      </c>
      <c r="H71" s="10" t="inlineStr">
        <is>
          <t>Se em área de manancial, manifestação da AMEP ou da diretoria de recursos hídricos do IAT.</t>
        </is>
      </c>
    </row>
    <row r="72" ht="41.25" customHeight="1">
      <c r="B72" s="9" t="inlineStr">
        <is>
          <t>V.19</t>
        </is>
      </c>
      <c r="C72" s="10" t="inlineStr">
        <is>
          <t>Manifestação de órgãos intervenientes (FUNAI, INCRA, IPHAN, ICMBio, CEPHA, DNIT, DER etc.)</t>
        </is>
      </c>
      <c r="D72" s="10" t="inlineStr">
        <is>
          <t>3.4; 3.7</t>
        </is>
      </c>
      <c r="E72" s="10" t="inlineStr">
        <is>
          <t>[IN37] Art. 17, IX e Art. 75</t>
        </is>
      </c>
      <c r="F72" s="9" t="inlineStr">
        <is>
          <t>A verificar</t>
        </is>
      </c>
      <c r="G72" s="11" t="inlineStr">
        <is>
          <t>A VERIFICAR</t>
        </is>
      </c>
      <c r="H72" s="10" t="inlineStr">
        <is>
          <t>Quando aplicável.</t>
        </is>
      </c>
    </row>
  </sheetData>
  <autoFilter ref="B9:H72"/>
  <mergeCells count="20">
    <mergeCell ref="B7:C7"/>
    <mergeCell ref="B3:C3"/>
    <mergeCell ref="B45:H45"/>
    <mergeCell ref="B2:C2"/>
    <mergeCell ref="D6:H6"/>
    <mergeCell ref="D2:H2"/>
    <mergeCell ref="B31:H31"/>
    <mergeCell ref="D7:H7"/>
    <mergeCell ref="B21:H21"/>
    <mergeCell ref="B42:H42"/>
    <mergeCell ref="D4:H4"/>
    <mergeCell ref="D3:H3"/>
    <mergeCell ref="B6:C6"/>
    <mergeCell ref="B1:H1"/>
    <mergeCell ref="B13:H13"/>
    <mergeCell ref="B5:C5"/>
    <mergeCell ref="B53:H53"/>
    <mergeCell ref="D5:H5"/>
    <mergeCell ref="B10:H10"/>
    <mergeCell ref="B4:C4"/>
  </mergeCells>
  <conditionalFormatting sqref="G10:G72">
    <cfRule type="cellIs" priority="1" operator="equal" dxfId="0">
      <formula>"ATENDIDO"</formula>
    </cfRule>
    <cfRule type="cellIs" priority="2" operator="equal" dxfId="1">
      <formula>"PARCIALMENTE ATENDIDO"</formula>
    </cfRule>
    <cfRule type="cellIs" priority="3" operator="equal" dxfId="2">
      <formula>"NÃO ATENDIDO"</formula>
    </cfRule>
    <cfRule type="cellIs" priority="4" operator="equal" dxfId="3">
      <formula>"DÚVIDA/VALIDAÇÃO NECESSÁRIA"</formula>
    </cfRule>
    <cfRule type="cellIs" priority="5" operator="equal" dxfId="4">
      <formula>"NÃO SE APLICA"</formula>
    </cfRule>
    <cfRule type="cellIs" priority="6" operator="equal" dxfId="5">
      <formula>"A VERIFICAR"</formula>
    </cfRule>
  </conditionalFormatting>
  <dataValidations count="2">
    <dataValidation sqref="G10:G72" showDropDown="0" showInputMessage="0" showErrorMessage="0" allowBlank="1" type="list">
      <formula1>"ATENDIDO,PARCIALMENTE ATENDIDO,NÃO ATENDIDO,DÚVIDA/VALIDAÇÃO NECESSÁRIA,NÃO SE APLICA,A VERIFICAR"</formula1>
    </dataValidation>
    <dataValidation sqref="F10:F72" showDropDown="0" showInputMessage="0" showErrorMessage="0" allowBlank="1" type="list">
      <formula1>"Sim,Parcial,Não,A verificar,Não se aplica"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&amp;C&amp;8 MCE do SAA Sanepar Candói – Projeto nº 73349 – Matriz Anexo VI –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I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B1" s="1" t="inlineStr">
        <is>
          <t>RESUMO DE ATENDIMENTO – MCE do SAA Sanepar Candói – Projeto nº 73349</t>
        </is>
      </c>
    </row>
    <row r="3" ht="42" customHeight="1">
      <c r="B3" s="15" t="inlineStr">
        <is>
          <t>Grupo</t>
        </is>
      </c>
      <c r="C3" s="15" t="inlineStr">
        <is>
          <t>Total</t>
        </is>
      </c>
      <c r="D3" s="16" t="inlineStr">
        <is>
          <t>ATENDIDO</t>
        </is>
      </c>
      <c r="E3" s="17" t="inlineStr">
        <is>
          <t>PARCIALMENTE ATENDIDO</t>
        </is>
      </c>
      <c r="F3" s="18" t="inlineStr">
        <is>
          <t>NÃO ATENDIDO</t>
        </is>
      </c>
      <c r="G3" s="19" t="inlineStr">
        <is>
          <t>DÚVIDA/VALIDAÇÃO NECESSÁRIA</t>
        </is>
      </c>
      <c r="H3" s="20" t="inlineStr">
        <is>
          <t>NÃO SE APLICA</t>
        </is>
      </c>
      <c r="I3" s="21" t="inlineStr">
        <is>
          <t>A VERIFICAR</t>
        </is>
      </c>
    </row>
    <row r="4">
      <c r="B4" s="22" t="inlineStr">
        <is>
          <t>0. Exigências gerais</t>
        </is>
      </c>
      <c r="C4" s="23">
        <f>COUNTIFS('Matriz Anexo VI'!$B$10:$B$72,"0.*",'Matriz Anexo VI'!$G$10:$G$72,"?*")</f>
        <v/>
      </c>
      <c r="D4" s="23">
        <f>COUNTIFS('Matriz Anexo VI'!$B$10:$B$72,"0.*",'Matriz Anexo VI'!$G$10:$G$72,"ATENDIDO")</f>
        <v/>
      </c>
      <c r="E4" s="23">
        <f>COUNTIFS('Matriz Anexo VI'!$B$10:$B$72,"0.*",'Matriz Anexo VI'!$G$10:$G$72,"PARCIALMENTE ATENDIDO")</f>
        <v/>
      </c>
      <c r="F4" s="23">
        <f>COUNTIFS('Matriz Anexo VI'!$B$10:$B$72,"0.*",'Matriz Anexo VI'!$G$10:$G$72,"NÃO ATENDIDO")</f>
        <v/>
      </c>
      <c r="G4" s="23">
        <f>COUNTIFS('Matriz Anexo VI'!$B$10:$B$72,"0.*",'Matriz Anexo VI'!$G$10:$G$72,"DÚVIDA/VALIDAÇÃO NECESSÁRIA")</f>
        <v/>
      </c>
      <c r="H4" s="23">
        <f>COUNTIFS('Matriz Anexo VI'!$B$10:$B$72,"0.*",'Matriz Anexo VI'!$G$10:$G$72,"NÃO SE APLICA")</f>
        <v/>
      </c>
      <c r="I4" s="23">
        <f>COUNTIFS('Matriz Anexo VI'!$B$10:$B$72,"0.*",'Matriz Anexo VI'!$G$10:$G$72,"A VERIFICAR")</f>
        <v/>
      </c>
    </row>
    <row r="5">
      <c r="B5" s="22" t="inlineStr">
        <is>
          <t>I. Informações cadastrais</t>
        </is>
      </c>
      <c r="C5" s="23">
        <f>COUNTIFS('Matriz Anexo VI'!$B$10:$B$72,"I.*",'Matriz Anexo VI'!$G$10:$G$72,"?*")</f>
        <v/>
      </c>
      <c r="D5" s="23">
        <f>COUNTIFS('Matriz Anexo VI'!$B$10:$B$72,"I.*",'Matriz Anexo VI'!$G$10:$G$72,"ATENDIDO")</f>
        <v/>
      </c>
      <c r="E5" s="23">
        <f>COUNTIFS('Matriz Anexo VI'!$B$10:$B$72,"I.*",'Matriz Anexo VI'!$G$10:$G$72,"PARCIALMENTE ATENDIDO")</f>
        <v/>
      </c>
      <c r="F5" s="23">
        <f>COUNTIFS('Matriz Anexo VI'!$B$10:$B$72,"I.*",'Matriz Anexo VI'!$G$10:$G$72,"NÃO ATENDIDO")</f>
        <v/>
      </c>
      <c r="G5" s="23">
        <f>COUNTIFS('Matriz Anexo VI'!$B$10:$B$72,"I.*",'Matriz Anexo VI'!$G$10:$G$72,"DÚVIDA/VALIDAÇÃO NECESSÁRIA")</f>
        <v/>
      </c>
      <c r="H5" s="23">
        <f>COUNTIFS('Matriz Anexo VI'!$B$10:$B$72,"I.*",'Matriz Anexo VI'!$G$10:$G$72,"NÃO SE APLICA")</f>
        <v/>
      </c>
      <c r="I5" s="23">
        <f>COUNTIFS('Matriz Anexo VI'!$B$10:$B$72,"I.*",'Matriz Anexo VI'!$G$10:$G$72,"A VERIFICAR")</f>
        <v/>
      </c>
    </row>
    <row r="6">
      <c r="B6" s="22" t="inlineStr">
        <is>
          <t>II. Caracterização da área</t>
        </is>
      </c>
      <c r="C6" s="23">
        <f>COUNTIFS('Matriz Anexo VI'!$B$10:$B$72,"II.*",'Matriz Anexo VI'!$G$10:$G$72,"?*")</f>
        <v/>
      </c>
      <c r="D6" s="23">
        <f>COUNTIFS('Matriz Anexo VI'!$B$10:$B$72,"II.*",'Matriz Anexo VI'!$G$10:$G$72,"ATENDIDO")</f>
        <v/>
      </c>
      <c r="E6" s="23">
        <f>COUNTIFS('Matriz Anexo VI'!$B$10:$B$72,"II.*",'Matriz Anexo VI'!$G$10:$G$72,"PARCIALMENTE ATENDIDO")</f>
        <v/>
      </c>
      <c r="F6" s="23">
        <f>COUNTIFS('Matriz Anexo VI'!$B$10:$B$72,"II.*",'Matriz Anexo VI'!$G$10:$G$72,"NÃO ATENDIDO")</f>
        <v/>
      </c>
      <c r="G6" s="23">
        <f>COUNTIFS('Matriz Anexo VI'!$B$10:$B$72,"II.*",'Matriz Anexo VI'!$G$10:$G$72,"DÚVIDA/VALIDAÇÃO NECESSÁRIA")</f>
        <v/>
      </c>
      <c r="H6" s="23">
        <f>COUNTIFS('Matriz Anexo VI'!$B$10:$B$72,"II.*",'Matriz Anexo VI'!$G$10:$G$72,"NÃO SE APLICA")</f>
        <v/>
      </c>
      <c r="I6" s="23">
        <f>COUNTIFS('Matriz Anexo VI'!$B$10:$B$72,"II.*",'Matriz Anexo VI'!$G$10:$G$72,"A VERIFICAR")</f>
        <v/>
      </c>
    </row>
    <row r="7">
      <c r="B7" s="22" t="inlineStr">
        <is>
          <t>III. Croqui de localização</t>
        </is>
      </c>
      <c r="C7" s="23">
        <f>COUNTIFS('Matriz Anexo VI'!$B$10:$B$72,"III.*",'Matriz Anexo VI'!$G$10:$G$72,"?*")</f>
        <v/>
      </c>
      <c r="D7" s="23">
        <f>COUNTIFS('Matriz Anexo VI'!$B$10:$B$72,"III.*",'Matriz Anexo VI'!$G$10:$G$72,"ATENDIDO")</f>
        <v/>
      </c>
      <c r="E7" s="23">
        <f>COUNTIFS('Matriz Anexo VI'!$B$10:$B$72,"III.*",'Matriz Anexo VI'!$G$10:$G$72,"PARCIALMENTE ATENDIDO")</f>
        <v/>
      </c>
      <c r="F7" s="23">
        <f>COUNTIFS('Matriz Anexo VI'!$B$10:$B$72,"III.*",'Matriz Anexo VI'!$G$10:$G$72,"NÃO ATENDIDO")</f>
        <v/>
      </c>
      <c r="G7" s="23">
        <f>COUNTIFS('Matriz Anexo VI'!$B$10:$B$72,"III.*",'Matriz Anexo VI'!$G$10:$G$72,"DÚVIDA/VALIDAÇÃO NECESSÁRIA")</f>
        <v/>
      </c>
      <c r="H7" s="23">
        <f>COUNTIFS('Matriz Anexo VI'!$B$10:$B$72,"III.*",'Matriz Anexo VI'!$G$10:$G$72,"NÃO SE APLICA")</f>
        <v/>
      </c>
      <c r="I7" s="23">
        <f>COUNTIFS('Matriz Anexo VI'!$B$10:$B$72,"III.*",'Matriz Anexo VI'!$G$10:$G$72,"A VERIFICAR")</f>
        <v/>
      </c>
    </row>
    <row r="8">
      <c r="B8" s="22" t="inlineStr">
        <is>
          <t>IV. Caracterização do empreendimento</t>
        </is>
      </c>
      <c r="C8" s="23">
        <f>COUNTIFS('Matriz Anexo VI'!$B$10:$B$72,"IV.*",'Matriz Anexo VI'!$G$10:$G$72,"?*")</f>
        <v/>
      </c>
      <c r="D8" s="23">
        <f>COUNTIFS('Matriz Anexo VI'!$B$10:$B$72,"IV.*",'Matriz Anexo VI'!$G$10:$G$72,"ATENDIDO")</f>
        <v/>
      </c>
      <c r="E8" s="23">
        <f>COUNTIFS('Matriz Anexo VI'!$B$10:$B$72,"IV.*",'Matriz Anexo VI'!$G$10:$G$72,"PARCIALMENTE ATENDIDO")</f>
        <v/>
      </c>
      <c r="F8" s="23">
        <f>COUNTIFS('Matriz Anexo VI'!$B$10:$B$72,"IV.*",'Matriz Anexo VI'!$G$10:$G$72,"NÃO ATENDIDO")</f>
        <v/>
      </c>
      <c r="G8" s="23">
        <f>COUNTIFS('Matriz Anexo VI'!$B$10:$B$72,"IV.*",'Matriz Anexo VI'!$G$10:$G$72,"DÚVIDA/VALIDAÇÃO NECESSÁRIA")</f>
        <v/>
      </c>
      <c r="H8" s="23">
        <f>COUNTIFS('Matriz Anexo VI'!$B$10:$B$72,"IV.*",'Matriz Anexo VI'!$G$10:$G$72,"NÃO SE APLICA")</f>
        <v/>
      </c>
      <c r="I8" s="23">
        <f>COUNTIFS('Matriz Anexo VI'!$B$10:$B$72,"IV.*",'Matriz Anexo VI'!$G$10:$G$72,"A VERIFICAR")</f>
        <v/>
      </c>
    </row>
    <row r="9">
      <c r="B9" s="22" t="inlineStr">
        <is>
          <t>V. Complementares IN 37</t>
        </is>
      </c>
      <c r="C9" s="23">
        <f>COUNTIFS('Matriz Anexo VI'!$B$10:$B$72,"V.*",'Matriz Anexo VI'!$G$10:$G$72,"?*")</f>
        <v/>
      </c>
      <c r="D9" s="23">
        <f>COUNTIFS('Matriz Anexo VI'!$B$10:$B$72,"V.*",'Matriz Anexo VI'!$G$10:$G$72,"ATENDIDO")</f>
        <v/>
      </c>
      <c r="E9" s="23">
        <f>COUNTIFS('Matriz Anexo VI'!$B$10:$B$72,"V.*",'Matriz Anexo VI'!$G$10:$G$72,"PARCIALMENTE ATENDIDO")</f>
        <v/>
      </c>
      <c r="F9" s="23">
        <f>COUNTIFS('Matriz Anexo VI'!$B$10:$B$72,"V.*",'Matriz Anexo VI'!$G$10:$G$72,"NÃO ATENDIDO")</f>
        <v/>
      </c>
      <c r="G9" s="23">
        <f>COUNTIFS('Matriz Anexo VI'!$B$10:$B$72,"V.*",'Matriz Anexo VI'!$G$10:$G$72,"DÚVIDA/VALIDAÇÃO NECESSÁRIA")</f>
        <v/>
      </c>
      <c r="H9" s="23">
        <f>COUNTIFS('Matriz Anexo VI'!$B$10:$B$72,"V.*",'Matriz Anexo VI'!$G$10:$G$72,"NÃO SE APLICA")</f>
        <v/>
      </c>
      <c r="I9" s="23">
        <f>COUNTIFS('Matriz Anexo VI'!$B$10:$B$72,"V.*",'Matriz Anexo VI'!$G$10:$G$72,"A VERIFICAR")</f>
        <v/>
      </c>
    </row>
    <row r="10">
      <c r="B10" s="24" t="inlineStr">
        <is>
          <t>TOTAL GERAL (0 a IV = Anexo VI)</t>
        </is>
      </c>
      <c r="C10" s="25">
        <f>SUM(C4:C8)</f>
        <v/>
      </c>
      <c r="D10" s="25">
        <f>SUM(D4:D8)</f>
        <v/>
      </c>
      <c r="E10" s="25">
        <f>SUM(E4:E8)</f>
        <v/>
      </c>
      <c r="F10" s="25">
        <f>SUM(F4:F8)</f>
        <v/>
      </c>
      <c r="G10" s="25">
        <f>SUM(G4:G8)</f>
        <v/>
      </c>
      <c r="H10" s="25">
        <f>SUM(H4:H8)</f>
        <v/>
      </c>
      <c r="I10" s="25">
        <f>SUM(I4:I8)</f>
        <v/>
      </c>
    </row>
    <row r="11">
      <c r="B11" s="24" t="inlineStr">
        <is>
          <t>TOTAL GERAL (0 a V)</t>
        </is>
      </c>
      <c r="C11" s="25">
        <f>SUM(C4:C9)</f>
        <v/>
      </c>
      <c r="D11" s="25">
        <f>SUM(D4:D9)</f>
        <v/>
      </c>
      <c r="E11" s="25">
        <f>SUM(E4:E9)</f>
        <v/>
      </c>
      <c r="F11" s="25">
        <f>SUM(F4:F9)</f>
        <v/>
      </c>
      <c r="G11" s="25">
        <f>SUM(G4:G9)</f>
        <v/>
      </c>
      <c r="H11" s="25">
        <f>SUM(H4:H9)</f>
        <v/>
      </c>
      <c r="I11" s="25">
        <f>SUM(I4:I9)</f>
        <v/>
      </c>
    </row>
  </sheetData>
  <mergeCells count="1">
    <mergeCell ref="B1:I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6" t="inlineStr">
        <is>
          <t>LEGENDA - CLASSIFICAÇÃO DE SITUAÇÃO</t>
        </is>
      </c>
    </row>
    <row r="3" ht="15" customHeight="1">
      <c r="A3" s="27" t="inlineStr">
        <is>
          <t>ATENDIDO</t>
        </is>
      </c>
      <c r="B3" s="10" t="inlineStr">
        <is>
          <t>Informação encontrada nos documentos fornecidos e suficientemente clara.</t>
        </is>
      </c>
    </row>
    <row r="4" ht="15" customHeight="1">
      <c r="A4" s="28" t="inlineStr">
        <is>
          <t>PARCIALMENTE ATENDIDO</t>
        </is>
      </c>
      <c r="B4" s="10" t="inlineStr">
        <is>
          <t>Existe informação nos documentos, porém incompleta ou faltam dados complementares.</t>
        </is>
      </c>
    </row>
    <row r="5" ht="15" customHeight="1">
      <c r="A5" s="13" t="inlineStr">
        <is>
          <t>NÃO ATENDIDO</t>
        </is>
      </c>
      <c r="B5" s="10" t="inlineStr">
        <is>
          <t>Informação não localizada em nenhum dos documentos fornecidos.</t>
        </is>
      </c>
    </row>
    <row r="6" ht="27" customHeight="1">
      <c r="A6" s="12" t="inlineStr">
        <is>
          <t>DÚVIDA/VALIDAÇÃO NECESSÁRIA</t>
        </is>
      </c>
      <c r="B6" s="10" t="inlineStr">
        <is>
          <t>Existem informações conflitantes, ambíguas, com nomenclatura/rotulagem tecnicamente inadequada, ou que necessitam confirmação do cliente/projetista antes de uso no MCE.</t>
        </is>
      </c>
    </row>
    <row r="7" ht="15" customHeight="1">
      <c r="A7" s="29" t="inlineStr">
        <is>
          <t>NÃO SE APLICA</t>
        </is>
      </c>
      <c r="B7" s="10" t="inlineStr">
        <is>
          <t>Exigência que não se aplica ao empreendimento, com justificativa registrada na coluna Observação.</t>
        </is>
      </c>
    </row>
    <row r="8" ht="27" customHeight="1">
      <c r="A8" s="11" t="inlineStr">
        <is>
          <t>A VERIFICAR</t>
        </is>
      </c>
      <c r="B8" s="10" t="inlineStr">
        <is>
          <t>Item ainda não avaliado: aguardando os documentos-fonte do Projeto nº 73349 (projeto básico, memorial descritivo e estudos ambientais).</t>
        </is>
      </c>
    </row>
    <row r="10">
      <c r="A10" s="30" t="inlineStr">
        <is>
          <t>Documentos-fonte (siglas utilizadas na matriz):</t>
        </is>
      </c>
    </row>
    <row r="11">
      <c r="A11" s="31" t="inlineStr">
        <is>
          <t>[IN37] = Instrução Normativa IAT nº 37, de 28 de abril de 2025 (republicada) – licenciamento ambiental de SES e SAA no Paraná</t>
        </is>
      </c>
    </row>
    <row r="12">
      <c r="A12" s="31" t="inlineStr">
        <is>
          <t>[IN37-VI] = Instrução Normativa IAT nº 37/2025, Anexo VI – Termo de Referência para Elaboração do MCE para SAA</t>
        </is>
      </c>
    </row>
    <row r="13">
      <c r="A13" s="31" t="inlineStr">
        <is>
          <t>[MCE-PAL] = Memorial de Caracterização do Empreendimento – Sanepar Palmeira SAA – 01 (modelo de referência)</t>
        </is>
      </c>
    </row>
    <row r="14">
      <c r="A14" s="31" t="inlineStr">
        <is>
          <t>[MCE-ER] = Memorial de Caracterização do Empreendimento – Sanepar SAA Entre Rios – 00 (modelo de referência)</t>
        </is>
      </c>
    </row>
    <row r="15">
      <c r="A15" s="31" t="inlineStr">
        <is>
          <t>[MATRIZ-PAL] = Anexo_VI_MCE_Palmeira (modelo de referência desta matriz)</t>
        </is>
      </c>
    </row>
    <row r="16">
      <c r="A16" s="31" t="inlineStr">
        <is>
          <t>[PROJ-73349] = Projeto Básico / Memorial Descritivo do SAA Sanepar Candói – Projeto nº 73349 (a fornecer)</t>
        </is>
      </c>
    </row>
    <row r="17">
      <c r="A17" s="31" t="inlineStr">
        <is>
          <t>[MEM-73349] = Memorial Descritivo dos Estudos Ambientais do SAA Candói – Projeto nº 73349 (a fornecer)</t>
        </is>
      </c>
    </row>
    <row r="18">
      <c r="A18" s="31" t="inlineStr">
        <is>
          <t>[INV-FLOR] = Inventário Florestal / Relatório de caracterização da flora do Projeto nº 73349 (a fornecer, se houver supressão)</t>
        </is>
      </c>
    </row>
    <row r="20">
      <c r="A20" s="30" t="inlineStr">
        <is>
          <t>Notas de uso:</t>
        </is>
      </c>
    </row>
    <row r="21" ht="27" customHeight="1">
      <c r="A21" s="31" t="inlineStr">
        <is>
          <t>1. Os itens 0 a IV reproduzem integralmente o Anexo VI da IN 37/2025, na mesma ordem e redação; o item IV.9 repete o IV.2 no próprio texto normativo e foi mantido.</t>
        </is>
      </c>
    </row>
    <row r="22" ht="27" customHeight="1">
      <c r="A22" s="31" t="inlineStr">
        <is>
          <t>2. O grupo V reúne exigências da IN 37 fora do Anexo VI que têm reflexo no conteúdo do MCE ou no protocolo do licenciamento.</t>
        </is>
      </c>
    </row>
    <row r="23" ht="27" customHeight="1">
      <c r="A23" s="31" t="inlineStr">
        <is>
          <t>3. A coluna 'Item correspondente no MCE' indica onde cada exigência é atendida na estrutura dos MCEs modelo (Palmeira / Entre Rios).</t>
        </is>
      </c>
    </row>
    <row r="24" ht="27" customHeight="1">
      <c r="A24" s="31" t="inlineStr">
        <is>
          <t>4. As colunas 'Informação encontrada?' e 'Situação' têm listas suspensas; a cor da Situação é atualizada automaticamente e a aba Resumo é recalculada.</t>
        </is>
      </c>
    </row>
  </sheetData>
  <mergeCells count="12">
    <mergeCell ref="A21:B21"/>
    <mergeCell ref="A16:B16"/>
    <mergeCell ref="A24:B24"/>
    <mergeCell ref="A15:B15"/>
    <mergeCell ref="A11:B11"/>
    <mergeCell ref="A23:B23"/>
    <mergeCell ref="A13:B13"/>
    <mergeCell ref="A14:B14"/>
    <mergeCell ref="A17:B17"/>
    <mergeCell ref="A18:B18"/>
    <mergeCell ref="A22:B22"/>
    <mergeCell ref="A12:B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Matriz Anexo VI – MCE SAA Sanepar Candói – Projeto nº 73349</dc:title>
  <dcterms:created xmlns:dcterms="http://purl.org/dc/terms/" xmlns:xsi="http://www.w3.org/2001/XMLSchema-instance" xsi:type="dcterms:W3CDTF">2026-10-07T18:38:19Z</dcterms:created>
  <dcterms:modified xmlns:dcterms="http://purl.org/dc/terms/" xmlns:xsi="http://www.w3.org/2001/XMLSchema-instance" xsi:type="dcterms:W3CDTF">2026-10-07T18:38:19Z</dcterms:modified>
</cp:coreProperties>
</file>